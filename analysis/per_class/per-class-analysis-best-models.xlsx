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Documents\AI\AgriPath-Publication\analysis\per_class\"/>
    </mc:Choice>
  </mc:AlternateContent>
  <xr:revisionPtr revIDLastSave="0" documentId="13_ncr:1_{51B0B0AD-5626-4349-91AD-606EA3EAFEB6}" xr6:coauthVersionLast="47" xr6:coauthVersionMax="47" xr10:uidLastSave="{00000000-0000-0000-0000-000000000000}"/>
  <bookViews>
    <workbookView xWindow="28680" yWindow="-120" windowWidth="29040" windowHeight="15720" activeTab="1" xr2:uid="{E5A729A2-873D-4F42-9932-5D2253CA968C}"/>
  </bookViews>
  <sheets>
    <sheet name="data_composition" sheetId="4" r:id="rId1"/>
    <sheet name="convnext-full" sheetId="2" r:id="rId2"/>
    <sheet name="clip-l-14-full" sheetId="1" r:id="rId3"/>
    <sheet name="qwen7-full" sheetId="3" r:id="rId4"/>
    <sheet name="per_class_champ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5" l="1"/>
  <c r="D19" i="5"/>
  <c r="D18" i="5"/>
  <c r="D5" i="5"/>
  <c r="D4" i="5"/>
  <c r="D3" i="5"/>
  <c r="B33" i="3"/>
  <c r="B32" i="3"/>
  <c r="B34" i="3" s="1"/>
  <c r="D25" i="3"/>
  <c r="C25" i="3"/>
  <c r="B38" i="3" s="1"/>
  <c r="B25" i="3"/>
  <c r="D14" i="3"/>
  <c r="C14" i="3"/>
  <c r="B28" i="3" s="1"/>
  <c r="B14" i="3"/>
  <c r="B33" i="2"/>
  <c r="B32" i="2"/>
  <c r="B34" i="2" s="1"/>
  <c r="D25" i="2"/>
  <c r="C25" i="2"/>
  <c r="B38" i="2" s="1"/>
  <c r="B25" i="2"/>
  <c r="D14" i="2"/>
  <c r="C14" i="2"/>
  <c r="B37" i="2" s="1"/>
  <c r="B14" i="2"/>
  <c r="B34" i="1"/>
  <c r="B39" i="1"/>
  <c r="B38" i="1"/>
  <c r="B37" i="1"/>
  <c r="B33" i="1"/>
  <c r="B32" i="1"/>
  <c r="D25" i="1"/>
  <c r="C25" i="1"/>
  <c r="B29" i="1" s="1"/>
  <c r="B25" i="1"/>
  <c r="D14" i="1"/>
  <c r="C14" i="1"/>
  <c r="B28" i="1" s="1"/>
  <c r="B14" i="1"/>
  <c r="B29" i="3" l="1"/>
  <c r="B37" i="3"/>
  <c r="B39" i="3" s="1"/>
  <c r="B39" i="2"/>
  <c r="B28" i="2"/>
  <c r="B29" i="2"/>
</calcChain>
</file>

<file path=xl/sharedStrings.xml><?xml version="1.0" encoding="utf-8"?>
<sst xmlns="http://schemas.openxmlformats.org/spreadsheetml/2006/main" count="284" uniqueCount="46">
  <si>
    <t>Class Name</t>
  </si>
  <si>
    <t>F1 (Main)</t>
  </si>
  <si>
    <t>F1 (Lab)</t>
  </si>
  <si>
    <t>F1 (Field)</t>
  </si>
  <si>
    <t>GROUP A</t>
  </si>
  <si>
    <t>GROUP B</t>
  </si>
  <si>
    <t>apple_healthy</t>
  </si>
  <si>
    <t>blueberry_healthy</t>
  </si>
  <si>
    <t>apple_scab</t>
  </si>
  <si>
    <t>peach_healthy</t>
  </si>
  <si>
    <t>corn_common_rust</t>
  </si>
  <si>
    <t>potato_early_blight</t>
  </si>
  <si>
    <t>corn_gray_leaf_spot</t>
  </si>
  <si>
    <t>raspberry_healthy</t>
  </si>
  <si>
    <t>corn_healthy</t>
  </si>
  <si>
    <t>squash_powdery_mildew</t>
  </si>
  <si>
    <t>corn_nlb</t>
  </si>
  <si>
    <t>tomaot_bacterial_spot</t>
  </si>
  <si>
    <t>potato_late_blight</t>
  </si>
  <si>
    <t>tomato_late_blight</t>
  </si>
  <si>
    <t>rice_bacterial_leaf_blight</t>
  </si>
  <si>
    <t>tomato_leaf_spot</t>
  </si>
  <si>
    <t>rice_brown_spot</t>
  </si>
  <si>
    <t>rice_healthy</t>
  </si>
  <si>
    <t>rice_leaf_blast</t>
  </si>
  <si>
    <t>tomato_yellow_leaf</t>
  </si>
  <si>
    <t>MEAN</t>
  </si>
  <si>
    <t>MEAN DOMAIN GAP</t>
  </si>
  <si>
    <t>KEY</t>
  </si>
  <si>
    <t>Para 3</t>
  </si>
  <si>
    <t>Para 4</t>
  </si>
  <si>
    <t>MEAN FIELD F1 (A vs B)</t>
  </si>
  <si>
    <t>DELTA</t>
  </si>
  <si>
    <t>MEAN DOMAIN GAP (A vs B)</t>
  </si>
  <si>
    <t>tomato_bacterial_spot</t>
  </si>
  <si>
    <t># of Test Samples</t>
  </si>
  <si>
    <t>Best Model (Field)</t>
  </si>
  <si>
    <t>CNN</t>
  </si>
  <si>
    <t>CLIP</t>
  </si>
  <si>
    <t>VLM</t>
  </si>
  <si>
    <t>Sum</t>
  </si>
  <si>
    <t>Average</t>
  </si>
  <si>
    <t>Running Total</t>
  </si>
  <si>
    <t>Count</t>
  </si>
  <si>
    <t>Model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</si>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</sst>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"/>
    <numFmt numFmtId="171" formatCode="0.00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/>
    <xf numFmtId="164" fontId="16" fillId="0" borderId="0" xfId="0" applyNumberFormat="1" applyFont="1"/>
    <xf numFmtId="0" fontId="18" fillId="0" borderId="0" xfId="0" applyFont="1"/>
    <xf numFmtId="0" fontId="19" fillId="0" borderId="0" xfId="0" applyFont="1"/>
    <xf numFmtId="164" fontId="19" fillId="0" borderId="0" xfId="0" applyNumberFormat="1" applyFont="1"/>
    <xf numFmtId="164" fontId="18" fillId="0" borderId="0" xfId="0" applyNumberFormat="1" applyFont="1"/>
    <xf numFmtId="165" fontId="0" fillId="0" borderId="0" xfId="0" applyNumberFormat="1"/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/>
    <xf numFmtId="171" fontId="0" fillId="0" borderId="0" xfId="0" applyNumberFormat="1" applyAlignment="1">
      <alignment vertical="center" wrapText="1"/>
    </xf>
    <xf numFmtId="0" fontId="20" fillId="0" borderId="10" xfId="0" applyFont="1" applyBorder="1"/>
    <xf numFmtId="0" fontId="20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6" fillId="0" borderId="10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20" fillId="0" borderId="12" xfId="0" applyFont="1" applyBorder="1"/>
    <xf numFmtId="0" fontId="20" fillId="0" borderId="0" xfId="0" applyFont="1" applyBorder="1"/>
    <xf numFmtId="0" fontId="0" fillId="0" borderId="0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77AB-9E7C-4F9A-A149-CCACA68596E0}">
  <dimension ref="A1:B25"/>
  <sheetViews>
    <sheetView workbookViewId="0">
      <selection activeCell="A18" sqref="A18:B25"/>
    </sheetView>
  </sheetViews>
  <sheetFormatPr defaultRowHeight="15" x14ac:dyDescent="0.25"/>
  <cols>
    <col min="1" max="1" width="23.5703125" bestFit="1" customWidth="1"/>
    <col min="2" max="2" width="16.28515625" bestFit="1" customWidth="1"/>
  </cols>
  <sheetData>
    <row r="1" spans="1:2" x14ac:dyDescent="0.25">
      <c r="A1" s="8" t="s">
        <v>4</v>
      </c>
      <c r="B1" s="8"/>
    </row>
    <row r="2" spans="1:2" x14ac:dyDescent="0.25">
      <c r="A2" s="10" t="s">
        <v>0</v>
      </c>
      <c r="B2" s="10" t="s">
        <v>35</v>
      </c>
    </row>
    <row r="3" spans="1:2" x14ac:dyDescent="0.25">
      <c r="A3" t="s">
        <v>6</v>
      </c>
      <c r="B3">
        <v>23</v>
      </c>
    </row>
    <row r="4" spans="1:2" x14ac:dyDescent="0.25">
      <c r="A4" t="s">
        <v>8</v>
      </c>
      <c r="B4">
        <v>23</v>
      </c>
    </row>
    <row r="5" spans="1:2" x14ac:dyDescent="0.25">
      <c r="A5" t="s">
        <v>10</v>
      </c>
      <c r="B5">
        <v>23</v>
      </c>
    </row>
    <row r="6" spans="1:2" x14ac:dyDescent="0.25">
      <c r="A6" t="s">
        <v>12</v>
      </c>
      <c r="B6">
        <v>23</v>
      </c>
    </row>
    <row r="7" spans="1:2" x14ac:dyDescent="0.25">
      <c r="A7" t="s">
        <v>14</v>
      </c>
      <c r="B7">
        <v>23</v>
      </c>
    </row>
    <row r="8" spans="1:2" x14ac:dyDescent="0.25">
      <c r="A8" t="s">
        <v>16</v>
      </c>
      <c r="B8">
        <v>23</v>
      </c>
    </row>
    <row r="9" spans="1:2" x14ac:dyDescent="0.25">
      <c r="A9" t="s">
        <v>18</v>
      </c>
      <c r="B9">
        <v>20</v>
      </c>
    </row>
    <row r="10" spans="1:2" x14ac:dyDescent="0.25">
      <c r="A10" t="s">
        <v>20</v>
      </c>
      <c r="B10">
        <v>23</v>
      </c>
    </row>
    <row r="11" spans="1:2" x14ac:dyDescent="0.25">
      <c r="A11" t="s">
        <v>22</v>
      </c>
      <c r="B11">
        <v>23</v>
      </c>
    </row>
    <row r="12" spans="1:2" x14ac:dyDescent="0.25">
      <c r="A12" t="s">
        <v>23</v>
      </c>
      <c r="B12">
        <v>23</v>
      </c>
    </row>
    <row r="13" spans="1:2" x14ac:dyDescent="0.25">
      <c r="A13" t="s">
        <v>24</v>
      </c>
      <c r="B13">
        <v>23</v>
      </c>
    </row>
    <row r="14" spans="1:2" x14ac:dyDescent="0.25">
      <c r="A14" t="s">
        <v>25</v>
      </c>
      <c r="B14">
        <v>23</v>
      </c>
    </row>
    <row r="16" spans="1:2" x14ac:dyDescent="0.25">
      <c r="A16" s="8" t="s">
        <v>5</v>
      </c>
      <c r="B16" s="8"/>
    </row>
    <row r="17" spans="1:2" x14ac:dyDescent="0.25">
      <c r="A17" s="10" t="s">
        <v>0</v>
      </c>
      <c r="B17" s="10" t="s">
        <v>35</v>
      </c>
    </row>
    <row r="18" spans="1:2" x14ac:dyDescent="0.25">
      <c r="A18" t="s">
        <v>7</v>
      </c>
      <c r="B18">
        <v>11</v>
      </c>
    </row>
    <row r="19" spans="1:2" x14ac:dyDescent="0.25">
      <c r="A19" t="s">
        <v>9</v>
      </c>
      <c r="B19">
        <v>11</v>
      </c>
    </row>
    <row r="20" spans="1:2" x14ac:dyDescent="0.25">
      <c r="A20" t="s">
        <v>11</v>
      </c>
      <c r="B20">
        <v>17</v>
      </c>
    </row>
    <row r="21" spans="1:2" x14ac:dyDescent="0.25">
      <c r="A21" t="s">
        <v>13</v>
      </c>
      <c r="B21">
        <v>11</v>
      </c>
    </row>
    <row r="22" spans="1:2" x14ac:dyDescent="0.25">
      <c r="A22" t="s">
        <v>15</v>
      </c>
      <c r="B22">
        <v>13</v>
      </c>
    </row>
    <row r="23" spans="1:2" x14ac:dyDescent="0.25">
      <c r="A23" t="s">
        <v>19</v>
      </c>
      <c r="B23">
        <v>11</v>
      </c>
    </row>
    <row r="24" spans="1:2" x14ac:dyDescent="0.25">
      <c r="A24" t="s">
        <v>21</v>
      </c>
      <c r="B24">
        <v>11</v>
      </c>
    </row>
    <row r="25" spans="1:2" x14ac:dyDescent="0.25">
      <c r="A25" t="s">
        <v>17</v>
      </c>
      <c r="B25">
        <v>15</v>
      </c>
    </row>
  </sheetData>
  <mergeCells count="2">
    <mergeCell ref="A1:B1"/>
    <mergeCell ref="A16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858B-5354-4014-98FD-23F0611390D2}">
  <dimension ref="A1:L39"/>
  <sheetViews>
    <sheetView tabSelected="1" topLeftCell="A13" workbookViewId="0">
      <selection activeCell="C14" sqref="C14"/>
    </sheetView>
  </sheetViews>
  <sheetFormatPr defaultRowHeight="15" x14ac:dyDescent="0.25"/>
  <cols>
    <col min="1" max="1" width="23.5703125" bestFit="1" customWidth="1"/>
    <col min="2" max="2" width="10.85546875" bestFit="1" customWidth="1"/>
    <col min="3" max="3" width="12.42578125" customWidth="1"/>
    <col min="4" max="4" width="1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J1" t="s">
        <v>4</v>
      </c>
      <c r="L1" t="s">
        <v>5</v>
      </c>
    </row>
    <row r="2" spans="1:12" x14ac:dyDescent="0.25">
      <c r="A2" t="s">
        <v>6</v>
      </c>
      <c r="B2" s="7">
        <v>0.94623654999999995</v>
      </c>
      <c r="C2" s="7">
        <v>0.97872340999999996</v>
      </c>
      <c r="D2" s="7">
        <v>0.91304350000000001</v>
      </c>
      <c r="J2" t="s">
        <v>6</v>
      </c>
      <c r="L2" t="s">
        <v>7</v>
      </c>
    </row>
    <row r="3" spans="1:12" x14ac:dyDescent="0.25">
      <c r="A3" t="s">
        <v>8</v>
      </c>
      <c r="B3" s="7">
        <v>0.92631578000000003</v>
      </c>
      <c r="C3" s="7">
        <v>0.97872340999999996</v>
      </c>
      <c r="D3" s="7">
        <v>0.875</v>
      </c>
      <c r="J3" t="s">
        <v>8</v>
      </c>
      <c r="L3" t="s">
        <v>9</v>
      </c>
    </row>
    <row r="4" spans="1:12" x14ac:dyDescent="0.25">
      <c r="A4" t="s">
        <v>10</v>
      </c>
      <c r="B4" s="7">
        <v>0.80000000999999998</v>
      </c>
      <c r="C4" s="7">
        <v>1</v>
      </c>
      <c r="D4" s="7">
        <v>0.59090905999999999</v>
      </c>
      <c r="J4" t="s">
        <v>10</v>
      </c>
      <c r="L4" t="s">
        <v>11</v>
      </c>
    </row>
    <row r="5" spans="1:12" x14ac:dyDescent="0.25">
      <c r="A5" t="s">
        <v>12</v>
      </c>
      <c r="B5" s="7">
        <v>0.84090905999999999</v>
      </c>
      <c r="C5" s="7">
        <v>0.95652174999999995</v>
      </c>
      <c r="D5" s="7">
        <v>0.71428572999999995</v>
      </c>
      <c r="J5" t="s">
        <v>12</v>
      </c>
      <c r="L5" t="s">
        <v>13</v>
      </c>
    </row>
    <row r="6" spans="1:12" x14ac:dyDescent="0.25">
      <c r="A6" t="s">
        <v>14</v>
      </c>
      <c r="B6" s="7">
        <v>0.87640452000000002</v>
      </c>
      <c r="C6" s="7">
        <v>1</v>
      </c>
      <c r="D6" s="7">
        <v>0.74418603999999999</v>
      </c>
      <c r="J6" t="s">
        <v>14</v>
      </c>
      <c r="L6" t="s">
        <v>15</v>
      </c>
    </row>
    <row r="7" spans="1:12" x14ac:dyDescent="0.25">
      <c r="A7" t="s">
        <v>16</v>
      </c>
      <c r="B7" s="7">
        <v>0.90909094000000001</v>
      </c>
      <c r="C7" s="7">
        <v>0.95652174999999995</v>
      </c>
      <c r="D7" s="7">
        <v>0.85714287</v>
      </c>
      <c r="J7" t="s">
        <v>16</v>
      </c>
      <c r="L7" t="s">
        <v>17</v>
      </c>
    </row>
    <row r="8" spans="1:12" x14ac:dyDescent="0.25">
      <c r="A8" t="s">
        <v>18</v>
      </c>
      <c r="B8" s="7">
        <v>0.88636362999999996</v>
      </c>
      <c r="C8" s="7">
        <v>0.95999997999999997</v>
      </c>
      <c r="D8" s="7">
        <v>0.78947371</v>
      </c>
      <c r="J8" t="s">
        <v>18</v>
      </c>
      <c r="L8" t="s">
        <v>19</v>
      </c>
    </row>
    <row r="9" spans="1:12" x14ac:dyDescent="0.25">
      <c r="A9" t="s">
        <v>20</v>
      </c>
      <c r="B9" s="7">
        <v>0.94382023999999998</v>
      </c>
      <c r="C9" s="7">
        <v>1</v>
      </c>
      <c r="D9" s="7">
        <v>0.88372092999999996</v>
      </c>
      <c r="J9" t="s">
        <v>20</v>
      </c>
      <c r="L9" t="s">
        <v>21</v>
      </c>
    </row>
    <row r="10" spans="1:12" x14ac:dyDescent="0.25">
      <c r="A10" t="s">
        <v>22</v>
      </c>
      <c r="B10" s="7">
        <v>0.86000001000000004</v>
      </c>
      <c r="C10" s="7">
        <v>0.78571427000000005</v>
      </c>
      <c r="D10" s="7">
        <v>0.95454543999999997</v>
      </c>
      <c r="J10" t="s">
        <v>22</v>
      </c>
    </row>
    <row r="11" spans="1:12" x14ac:dyDescent="0.25">
      <c r="A11" t="s">
        <v>23</v>
      </c>
      <c r="B11" s="7">
        <v>0.82926827999999997</v>
      </c>
      <c r="C11" s="7">
        <v>0.91304350000000001</v>
      </c>
      <c r="D11" s="7">
        <v>0.72222220999999998</v>
      </c>
      <c r="J11" t="s">
        <v>23</v>
      </c>
    </row>
    <row r="12" spans="1:12" x14ac:dyDescent="0.25">
      <c r="A12" t="s">
        <v>24</v>
      </c>
      <c r="B12" s="7">
        <v>0.81927711000000003</v>
      </c>
      <c r="C12" s="7">
        <v>0.72222220999999998</v>
      </c>
      <c r="D12" s="7">
        <v>0.89361703000000003</v>
      </c>
      <c r="J12" t="s">
        <v>24</v>
      </c>
    </row>
    <row r="13" spans="1:12" x14ac:dyDescent="0.25">
      <c r="A13" t="s">
        <v>25</v>
      </c>
      <c r="B13" s="7">
        <v>0.94736844301223699</v>
      </c>
      <c r="C13" s="7">
        <v>1</v>
      </c>
      <c r="D13" s="7">
        <v>0.89795917272567705</v>
      </c>
      <c r="J13" t="s">
        <v>25</v>
      </c>
    </row>
    <row r="14" spans="1:12" x14ac:dyDescent="0.25">
      <c r="A14" s="1" t="s">
        <v>26</v>
      </c>
      <c r="B14" s="2">
        <f>AVERAGE(B2:B13)</f>
        <v>0.88208788108435321</v>
      </c>
      <c r="C14" s="2">
        <f>AVERAGE(C2:C13)</f>
        <v>0.9376225233333334</v>
      </c>
      <c r="D14" s="2">
        <f>AVERAGE(D2:D13)</f>
        <v>0.8196754743938065</v>
      </c>
    </row>
    <row r="16" spans="1:12" x14ac:dyDescent="0.25">
      <c r="A16" t="s">
        <v>0</v>
      </c>
      <c r="B16" t="s">
        <v>1</v>
      </c>
      <c r="C16" t="s">
        <v>2</v>
      </c>
      <c r="D16" t="s">
        <v>3</v>
      </c>
    </row>
    <row r="17" spans="1:10" x14ac:dyDescent="0.25">
      <c r="A17" t="s">
        <v>7</v>
      </c>
      <c r="B17" s="7">
        <v>0.96842103999999996</v>
      </c>
      <c r="C17" s="7">
        <v>1</v>
      </c>
      <c r="D17" s="7">
        <v>0.88</v>
      </c>
      <c r="J17" s="1" t="s">
        <v>28</v>
      </c>
    </row>
    <row r="18" spans="1:10" x14ac:dyDescent="0.25">
      <c r="A18" t="s">
        <v>9</v>
      </c>
      <c r="B18" s="7">
        <v>1</v>
      </c>
      <c r="C18" s="7">
        <v>1</v>
      </c>
      <c r="D18" s="7">
        <v>1</v>
      </c>
      <c r="J18" s="4" t="s">
        <v>29</v>
      </c>
    </row>
    <row r="19" spans="1:10" x14ac:dyDescent="0.25">
      <c r="A19" t="s">
        <v>11</v>
      </c>
      <c r="B19" s="7">
        <v>0.84090905999999999</v>
      </c>
      <c r="C19" s="7">
        <v>1</v>
      </c>
      <c r="D19" s="7">
        <v>0.53333335999999998</v>
      </c>
      <c r="J19" s="3" t="s">
        <v>30</v>
      </c>
    </row>
    <row r="20" spans="1:10" x14ac:dyDescent="0.25">
      <c r="A20" t="s">
        <v>13</v>
      </c>
      <c r="B20" s="7">
        <v>0.94382023999999998</v>
      </c>
      <c r="C20" s="7">
        <v>1</v>
      </c>
      <c r="D20" s="7">
        <v>0.73684210000000006</v>
      </c>
    </row>
    <row r="21" spans="1:10" x14ac:dyDescent="0.25">
      <c r="A21" t="s">
        <v>15</v>
      </c>
      <c r="B21" s="7">
        <v>0.97872340999999996</v>
      </c>
      <c r="C21" s="7">
        <v>1</v>
      </c>
      <c r="D21" s="7">
        <v>0.92857140000000005</v>
      </c>
    </row>
    <row r="22" spans="1:10" x14ac:dyDescent="0.25">
      <c r="A22" t="s">
        <v>19</v>
      </c>
      <c r="B22" s="7">
        <v>0.875</v>
      </c>
      <c r="C22" s="7">
        <v>0.94285715000000003</v>
      </c>
      <c r="D22" s="7">
        <v>0.69230771000000002</v>
      </c>
    </row>
    <row r="23" spans="1:10" x14ac:dyDescent="0.25">
      <c r="A23" t="s">
        <v>21</v>
      </c>
      <c r="B23" s="7">
        <v>0.82474225800000001</v>
      </c>
      <c r="C23" s="7">
        <v>0.96666663900000005</v>
      </c>
      <c r="D23" s="7">
        <v>0.59459459800000003</v>
      </c>
    </row>
    <row r="24" spans="1:10" x14ac:dyDescent="0.25">
      <c r="A24" t="s">
        <v>34</v>
      </c>
      <c r="B24" s="7">
        <v>0.87058824300765902</v>
      </c>
      <c r="C24" s="7">
        <v>0.97142857313156095</v>
      </c>
      <c r="D24" s="7">
        <v>0.40000000596046398</v>
      </c>
    </row>
    <row r="25" spans="1:10" x14ac:dyDescent="0.25">
      <c r="A25" s="1" t="s">
        <v>26</v>
      </c>
      <c r="B25" s="2">
        <f>AVERAGE(B17:B24)</f>
        <v>0.91277553137595735</v>
      </c>
      <c r="C25" s="2">
        <f>AVERAGE(C17:C24)</f>
        <v>0.98511904526644511</v>
      </c>
      <c r="D25" s="2">
        <f>AVERAGE(D17:D24)</f>
        <v>0.72070614674505784</v>
      </c>
    </row>
    <row r="27" spans="1:10" x14ac:dyDescent="0.25">
      <c r="A27" s="8" t="s">
        <v>27</v>
      </c>
      <c r="B27" s="8"/>
    </row>
    <row r="28" spans="1:10" x14ac:dyDescent="0.25">
      <c r="A28" s="4" t="s">
        <v>4</v>
      </c>
      <c r="B28" s="5">
        <f>C14-D14</f>
        <v>0.1179470489395269</v>
      </c>
    </row>
    <row r="29" spans="1:10" x14ac:dyDescent="0.25">
      <c r="A29" s="1" t="s">
        <v>5</v>
      </c>
      <c r="B29" s="2">
        <f>C25-D25</f>
        <v>0.26441289852138727</v>
      </c>
    </row>
    <row r="31" spans="1:10" x14ac:dyDescent="0.25">
      <c r="A31" s="9" t="s">
        <v>31</v>
      </c>
      <c r="B31" s="9"/>
    </row>
    <row r="32" spans="1:10" x14ac:dyDescent="0.25">
      <c r="A32" s="3" t="s">
        <v>4</v>
      </c>
      <c r="B32" s="6">
        <f>AVERAGE(D2:D13)</f>
        <v>0.8196754743938065</v>
      </c>
    </row>
    <row r="33" spans="1:2" x14ac:dyDescent="0.25">
      <c r="A33" s="3" t="s">
        <v>5</v>
      </c>
      <c r="B33" s="6">
        <f>AVERAGE(D17:D24)</f>
        <v>0.72070614674505784</v>
      </c>
    </row>
    <row r="34" spans="1:2" x14ac:dyDescent="0.25">
      <c r="A34" s="3" t="s">
        <v>32</v>
      </c>
      <c r="B34" s="6">
        <f>ABS(B32-B33)</f>
        <v>9.8969327648748662E-2</v>
      </c>
    </row>
    <row r="36" spans="1:2" x14ac:dyDescent="0.25">
      <c r="A36" s="9" t="s">
        <v>33</v>
      </c>
      <c r="B36" s="9"/>
    </row>
    <row r="37" spans="1:2" x14ac:dyDescent="0.25">
      <c r="A37" s="3" t="s">
        <v>4</v>
      </c>
      <c r="B37" s="6">
        <f>C14-D14</f>
        <v>0.1179470489395269</v>
      </c>
    </row>
    <row r="38" spans="1:2" x14ac:dyDescent="0.25">
      <c r="A38" s="3" t="s">
        <v>5</v>
      </c>
      <c r="B38" s="6">
        <f>C25-D25</f>
        <v>0.26441289852138727</v>
      </c>
    </row>
    <row r="39" spans="1:2" x14ac:dyDescent="0.25">
      <c r="A39" s="3" t="s">
        <v>32</v>
      </c>
      <c r="B39" s="6">
        <f>ABS(B37-B38)</f>
        <v>0.14646584958186037</v>
      </c>
    </row>
  </sheetData>
  <mergeCells count="3">
    <mergeCell ref="A27:B27"/>
    <mergeCell ref="A31:B31"/>
    <mergeCell ref="A36:B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142E-FCF9-4E9C-8064-B310C7A99278}">
  <dimension ref="A1:L39"/>
  <sheetViews>
    <sheetView topLeftCell="A13" workbookViewId="0">
      <selection activeCell="D17" sqref="D17:D24"/>
    </sheetView>
  </sheetViews>
  <sheetFormatPr defaultRowHeight="15" x14ac:dyDescent="0.25"/>
  <cols>
    <col min="1" max="1" width="23.5703125" bestFit="1" customWidth="1"/>
    <col min="2" max="4" width="12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J1" t="s">
        <v>4</v>
      </c>
      <c r="L1" t="s">
        <v>5</v>
      </c>
    </row>
    <row r="2" spans="1:12" x14ac:dyDescent="0.25">
      <c r="A2" t="s">
        <v>6</v>
      </c>
      <c r="B2">
        <v>0.94845360999999995</v>
      </c>
      <c r="C2">
        <v>0.95833330999999999</v>
      </c>
      <c r="D2">
        <v>0.93877553999999996</v>
      </c>
      <c r="J2" t="s">
        <v>6</v>
      </c>
      <c r="L2" t="s">
        <v>7</v>
      </c>
    </row>
    <row r="3" spans="1:12" x14ac:dyDescent="0.25">
      <c r="A3" t="s">
        <v>8</v>
      </c>
      <c r="B3">
        <v>0.89887642999999995</v>
      </c>
      <c r="C3">
        <v>0.95454543999999997</v>
      </c>
      <c r="D3">
        <v>0.84444445000000001</v>
      </c>
      <c r="J3" t="s">
        <v>8</v>
      </c>
      <c r="L3" t="s">
        <v>9</v>
      </c>
    </row>
    <row r="4" spans="1:12" x14ac:dyDescent="0.25">
      <c r="A4" t="s">
        <v>10</v>
      </c>
      <c r="B4">
        <v>0.84090905999999999</v>
      </c>
      <c r="C4">
        <v>0.97872340999999996</v>
      </c>
      <c r="D4">
        <v>0.68292682999999998</v>
      </c>
      <c r="J4" t="s">
        <v>10</v>
      </c>
      <c r="L4" t="s">
        <v>11</v>
      </c>
    </row>
    <row r="5" spans="1:12" x14ac:dyDescent="0.25">
      <c r="A5" t="s">
        <v>12</v>
      </c>
      <c r="B5">
        <v>0.75862068000000005</v>
      </c>
      <c r="C5">
        <v>0.83720927999999994</v>
      </c>
      <c r="D5">
        <v>0.68181818999999999</v>
      </c>
      <c r="J5" t="s">
        <v>12</v>
      </c>
      <c r="L5" t="s">
        <v>13</v>
      </c>
    </row>
    <row r="6" spans="1:12" x14ac:dyDescent="0.25">
      <c r="A6" t="s">
        <v>14</v>
      </c>
      <c r="B6">
        <v>0.86021506999999997</v>
      </c>
      <c r="C6">
        <v>1</v>
      </c>
      <c r="D6">
        <v>0.72340422999999998</v>
      </c>
      <c r="J6" t="s">
        <v>14</v>
      </c>
      <c r="L6" t="s">
        <v>15</v>
      </c>
    </row>
    <row r="7" spans="1:12" x14ac:dyDescent="0.25">
      <c r="A7" t="s">
        <v>16</v>
      </c>
      <c r="B7">
        <v>0.83870964999999997</v>
      </c>
      <c r="C7">
        <v>0.875</v>
      </c>
      <c r="D7">
        <v>0.80000000999999998</v>
      </c>
      <c r="J7" t="s">
        <v>16</v>
      </c>
      <c r="L7" t="s">
        <v>17</v>
      </c>
    </row>
    <row r="8" spans="1:12" x14ac:dyDescent="0.25">
      <c r="A8" t="s">
        <v>18</v>
      </c>
      <c r="B8">
        <v>0.87128711000000003</v>
      </c>
      <c r="C8">
        <v>0.92857140000000005</v>
      </c>
      <c r="D8">
        <v>0.80000000999999998</v>
      </c>
      <c r="J8" t="s">
        <v>18</v>
      </c>
      <c r="L8" t="s">
        <v>19</v>
      </c>
    </row>
    <row r="9" spans="1:12" x14ac:dyDescent="0.25">
      <c r="A9" t="s">
        <v>20</v>
      </c>
      <c r="B9">
        <v>0.85714287</v>
      </c>
      <c r="C9">
        <v>1</v>
      </c>
      <c r="D9">
        <v>0.68421054000000003</v>
      </c>
      <c r="J9" t="s">
        <v>20</v>
      </c>
      <c r="L9" t="s">
        <v>21</v>
      </c>
    </row>
    <row r="10" spans="1:12" x14ac:dyDescent="0.25">
      <c r="A10" t="s">
        <v>22</v>
      </c>
      <c r="B10">
        <v>0.89130436999999996</v>
      </c>
      <c r="C10">
        <v>0.89795917000000003</v>
      </c>
      <c r="D10">
        <v>0.88372092999999996</v>
      </c>
      <c r="J10" t="s">
        <v>22</v>
      </c>
    </row>
    <row r="11" spans="1:12" x14ac:dyDescent="0.25">
      <c r="A11" t="s">
        <v>23</v>
      </c>
      <c r="B11">
        <v>0.89130436999999996</v>
      </c>
      <c r="C11">
        <v>1</v>
      </c>
      <c r="D11">
        <v>0.78260869</v>
      </c>
      <c r="J11" t="s">
        <v>23</v>
      </c>
    </row>
    <row r="12" spans="1:12" x14ac:dyDescent="0.25">
      <c r="A12" t="s">
        <v>24</v>
      </c>
      <c r="B12">
        <v>0.82758622999999998</v>
      </c>
      <c r="C12">
        <v>0.88372092999999996</v>
      </c>
      <c r="D12">
        <v>0.77272724999999998</v>
      </c>
      <c r="J12" t="s">
        <v>24</v>
      </c>
    </row>
    <row r="13" spans="1:12" x14ac:dyDescent="0.25">
      <c r="A13" t="s">
        <v>25</v>
      </c>
      <c r="B13">
        <v>0.93478262000000001</v>
      </c>
      <c r="C13">
        <v>0.95652174999999995</v>
      </c>
      <c r="D13">
        <v>0.91304350000000001</v>
      </c>
      <c r="J13" t="s">
        <v>25</v>
      </c>
    </row>
    <row r="14" spans="1:12" x14ac:dyDescent="0.25">
      <c r="A14" s="1" t="s">
        <v>26</v>
      </c>
      <c r="B14" s="2">
        <f>AVERAGE(B2:B13)</f>
        <v>0.86826600583333324</v>
      </c>
      <c r="C14" s="5">
        <f>AVERAGE(C2:C13)</f>
        <v>0.93921539083333327</v>
      </c>
      <c r="D14" s="5">
        <f>AVERAGE(D2:D13)</f>
        <v>0.79230668083333333</v>
      </c>
    </row>
    <row r="16" spans="1:12" x14ac:dyDescent="0.25">
      <c r="A16" t="s">
        <v>0</v>
      </c>
      <c r="B16" t="s">
        <v>1</v>
      </c>
      <c r="C16" t="s">
        <v>2</v>
      </c>
      <c r="D16" t="s">
        <v>3</v>
      </c>
    </row>
    <row r="17" spans="1:10" x14ac:dyDescent="0.25">
      <c r="A17" t="s">
        <v>7</v>
      </c>
      <c r="B17">
        <v>0.96842103999999996</v>
      </c>
      <c r="C17">
        <v>1</v>
      </c>
      <c r="D17">
        <v>0.88</v>
      </c>
      <c r="J17" s="1" t="s">
        <v>28</v>
      </c>
    </row>
    <row r="18" spans="1:10" x14ac:dyDescent="0.25">
      <c r="A18" t="s">
        <v>9</v>
      </c>
      <c r="B18">
        <v>0.97872340999999996</v>
      </c>
      <c r="C18">
        <v>0.97222220999999998</v>
      </c>
      <c r="D18">
        <v>1</v>
      </c>
      <c r="J18" s="4" t="s">
        <v>29</v>
      </c>
    </row>
    <row r="19" spans="1:10" x14ac:dyDescent="0.25">
      <c r="A19" t="s">
        <v>11</v>
      </c>
      <c r="B19">
        <v>0.79518074000000005</v>
      </c>
      <c r="C19">
        <v>0.94736843999999998</v>
      </c>
      <c r="D19">
        <v>0.46153845999999998</v>
      </c>
      <c r="J19" s="3" t="s">
        <v>30</v>
      </c>
    </row>
    <row r="20" spans="1:10" x14ac:dyDescent="0.25">
      <c r="A20" t="s">
        <v>13</v>
      </c>
      <c r="B20">
        <v>0.98901099000000003</v>
      </c>
      <c r="C20">
        <v>1</v>
      </c>
      <c r="D20">
        <v>0.95238096000000005</v>
      </c>
    </row>
    <row r="21" spans="1:10" x14ac:dyDescent="0.25">
      <c r="A21" t="s">
        <v>15</v>
      </c>
      <c r="B21">
        <v>1</v>
      </c>
      <c r="C21">
        <v>1</v>
      </c>
      <c r="D21">
        <v>1</v>
      </c>
    </row>
    <row r="22" spans="1:10" x14ac:dyDescent="0.25">
      <c r="A22" t="s">
        <v>19</v>
      </c>
      <c r="B22">
        <v>0.87912089000000004</v>
      </c>
      <c r="C22">
        <v>0.92753624999999995</v>
      </c>
      <c r="D22">
        <v>0.72727275000000002</v>
      </c>
    </row>
    <row r="23" spans="1:10" x14ac:dyDescent="0.25">
      <c r="A23" t="s">
        <v>21</v>
      </c>
      <c r="B23">
        <v>0.77477479000000005</v>
      </c>
      <c r="C23">
        <v>0.86956518999999999</v>
      </c>
      <c r="D23">
        <v>0.61904764000000001</v>
      </c>
    </row>
    <row r="24" spans="1:10" x14ac:dyDescent="0.25">
      <c r="A24" t="s">
        <v>17</v>
      </c>
      <c r="B24">
        <v>0.77647060000000001</v>
      </c>
      <c r="C24">
        <v>0.91428571999999997</v>
      </c>
      <c r="D24">
        <v>0.13333333999999999</v>
      </c>
    </row>
    <row r="25" spans="1:10" x14ac:dyDescent="0.25">
      <c r="A25" s="1" t="s">
        <v>26</v>
      </c>
      <c r="B25" s="2">
        <f>AVERAGE(B17:B24)</f>
        <v>0.89521280749999999</v>
      </c>
      <c r="C25" s="2">
        <f>AVERAGE(C17:C24)</f>
        <v>0.95387222625000001</v>
      </c>
      <c r="D25" s="2">
        <f>AVERAGE(D17:D24)</f>
        <v>0.72169664374999998</v>
      </c>
    </row>
    <row r="27" spans="1:10" x14ac:dyDescent="0.25">
      <c r="A27" s="8" t="s">
        <v>27</v>
      </c>
      <c r="B27" s="8"/>
    </row>
    <row r="28" spans="1:10" x14ac:dyDescent="0.25">
      <c r="A28" s="4" t="s">
        <v>4</v>
      </c>
      <c r="B28" s="5">
        <f>C14-D14</f>
        <v>0.14690870999999994</v>
      </c>
    </row>
    <row r="29" spans="1:10" x14ac:dyDescent="0.25">
      <c r="A29" s="1" t="s">
        <v>5</v>
      </c>
      <c r="B29" s="2">
        <f>C25-D25</f>
        <v>0.23217558250000003</v>
      </c>
    </row>
    <row r="31" spans="1:10" x14ac:dyDescent="0.25">
      <c r="A31" s="9" t="s">
        <v>31</v>
      </c>
      <c r="B31" s="9"/>
    </row>
    <row r="32" spans="1:10" x14ac:dyDescent="0.25">
      <c r="A32" s="3" t="s">
        <v>4</v>
      </c>
      <c r="B32" s="6">
        <f>AVERAGE(D2:D13)</f>
        <v>0.79230668083333333</v>
      </c>
    </row>
    <row r="33" spans="1:2" x14ac:dyDescent="0.25">
      <c r="A33" s="3" t="s">
        <v>5</v>
      </c>
      <c r="B33" s="6">
        <f>AVERAGE(D17:D24)</f>
        <v>0.72169664374999998</v>
      </c>
    </row>
    <row r="34" spans="1:2" x14ac:dyDescent="0.25">
      <c r="A34" s="3" t="s">
        <v>32</v>
      </c>
      <c r="B34" s="6">
        <f>ABS(B32-B33)</f>
        <v>7.0610037083333355E-2</v>
      </c>
    </row>
    <row r="36" spans="1:2" x14ac:dyDescent="0.25">
      <c r="A36" s="9" t="s">
        <v>33</v>
      </c>
      <c r="B36" s="9"/>
    </row>
    <row r="37" spans="1:2" x14ac:dyDescent="0.25">
      <c r="A37" s="3" t="s">
        <v>4</v>
      </c>
      <c r="B37" s="6">
        <f>C14-D14</f>
        <v>0.14690870999999994</v>
      </c>
    </row>
    <row r="38" spans="1:2" x14ac:dyDescent="0.25">
      <c r="A38" s="3" t="s">
        <v>5</v>
      </c>
      <c r="B38" s="6">
        <f>C25-D25</f>
        <v>0.23217558250000003</v>
      </c>
    </row>
    <row r="39" spans="1:2" x14ac:dyDescent="0.25">
      <c r="A39" s="3" t="s">
        <v>32</v>
      </c>
      <c r="B39" s="6">
        <f>ABS(B37-B38)</f>
        <v>8.526687250000009E-2</v>
      </c>
    </row>
  </sheetData>
  <mergeCells count="3">
    <mergeCell ref="A27:B27"/>
    <mergeCell ref="A31:B31"/>
    <mergeCell ref="A36:B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FCD3-E440-4E98-BA53-54DD1D7459C7}">
  <dimension ref="A1:L39"/>
  <sheetViews>
    <sheetView topLeftCell="A13" workbookViewId="0">
      <selection activeCell="D24" sqref="D17:D24"/>
    </sheetView>
  </sheetViews>
  <sheetFormatPr defaultRowHeight="15" x14ac:dyDescent="0.25"/>
  <cols>
    <col min="1" max="1" width="23.5703125" bestFit="1" customWidth="1"/>
    <col min="2" max="2" width="12.5703125" bestFit="1" customWidth="1"/>
    <col min="3" max="4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J1" t="s">
        <v>4</v>
      </c>
      <c r="L1" t="s">
        <v>5</v>
      </c>
    </row>
    <row r="2" spans="1:12" x14ac:dyDescent="0.25">
      <c r="A2" t="s">
        <v>6</v>
      </c>
      <c r="B2">
        <v>0.89655172999999999</v>
      </c>
      <c r="C2">
        <v>0.90909094000000001</v>
      </c>
      <c r="D2">
        <v>0.86363637000000004</v>
      </c>
      <c r="J2" t="s">
        <v>6</v>
      </c>
      <c r="L2" t="s">
        <v>7</v>
      </c>
    </row>
    <row r="3" spans="1:12" x14ac:dyDescent="0.25">
      <c r="A3" t="s">
        <v>8</v>
      </c>
      <c r="B3">
        <v>0.89583330999999999</v>
      </c>
      <c r="C3">
        <v>0.95454543999999997</v>
      </c>
      <c r="D3">
        <v>0.84615386000000004</v>
      </c>
      <c r="J3" t="s">
        <v>8</v>
      </c>
      <c r="L3" t="s">
        <v>9</v>
      </c>
    </row>
    <row r="4" spans="1:12" x14ac:dyDescent="0.25">
      <c r="A4" t="s">
        <v>10</v>
      </c>
      <c r="B4">
        <v>0.86363637000000004</v>
      </c>
      <c r="C4">
        <v>1</v>
      </c>
      <c r="D4">
        <v>0.69767438999999998</v>
      </c>
      <c r="J4" t="s">
        <v>10</v>
      </c>
      <c r="L4" t="s">
        <v>11</v>
      </c>
    </row>
    <row r="5" spans="1:12" x14ac:dyDescent="0.25">
      <c r="A5" t="s">
        <v>12</v>
      </c>
      <c r="B5">
        <v>0.83720927999999994</v>
      </c>
      <c r="C5">
        <v>0.93333334000000001</v>
      </c>
      <c r="D5">
        <v>0.71428572999999995</v>
      </c>
      <c r="J5" t="s">
        <v>12</v>
      </c>
      <c r="L5" t="s">
        <v>13</v>
      </c>
    </row>
    <row r="6" spans="1:12" x14ac:dyDescent="0.25">
      <c r="A6" t="s">
        <v>14</v>
      </c>
      <c r="B6">
        <v>0.90697676000000005</v>
      </c>
      <c r="C6">
        <v>0.97777778000000004</v>
      </c>
      <c r="D6">
        <v>0.85714287</v>
      </c>
      <c r="J6" t="s">
        <v>14</v>
      </c>
      <c r="L6" t="s">
        <v>15</v>
      </c>
    </row>
    <row r="7" spans="1:12" x14ac:dyDescent="0.25">
      <c r="A7" t="s">
        <v>16</v>
      </c>
      <c r="B7">
        <v>0.87234043999999999</v>
      </c>
      <c r="C7">
        <v>0.89795917000000003</v>
      </c>
      <c r="D7">
        <v>0.84444445000000001</v>
      </c>
      <c r="J7" t="s">
        <v>16</v>
      </c>
      <c r="L7" t="s">
        <v>17</v>
      </c>
    </row>
    <row r="8" spans="1:12" x14ac:dyDescent="0.25">
      <c r="A8" t="s">
        <v>18</v>
      </c>
      <c r="B8">
        <v>0.87234043999999999</v>
      </c>
      <c r="C8">
        <v>0.94339620999999996</v>
      </c>
      <c r="D8">
        <v>0.78048777999999996</v>
      </c>
      <c r="J8" t="s">
        <v>18</v>
      </c>
      <c r="L8" t="s">
        <v>19</v>
      </c>
    </row>
    <row r="9" spans="1:12" x14ac:dyDescent="0.25">
      <c r="A9" t="s">
        <v>20</v>
      </c>
      <c r="B9">
        <v>0.87912089000000004</v>
      </c>
      <c r="C9">
        <v>1</v>
      </c>
      <c r="D9">
        <v>0.75555556999999995</v>
      </c>
      <c r="J9" t="s">
        <v>20</v>
      </c>
      <c r="L9" t="s">
        <v>21</v>
      </c>
    </row>
    <row r="10" spans="1:12" x14ac:dyDescent="0.25">
      <c r="A10" t="s">
        <v>22</v>
      </c>
      <c r="B10">
        <v>0.87755101999999996</v>
      </c>
      <c r="C10">
        <v>0.80769228999999998</v>
      </c>
      <c r="D10">
        <v>0.93333334000000001</v>
      </c>
      <c r="J10" t="s">
        <v>22</v>
      </c>
    </row>
    <row r="11" spans="1:12" x14ac:dyDescent="0.25">
      <c r="A11" t="s">
        <v>23</v>
      </c>
      <c r="B11">
        <v>0.91954022999999996</v>
      </c>
      <c r="C11">
        <v>1</v>
      </c>
      <c r="D11">
        <v>0.85714287</v>
      </c>
      <c r="J11" t="s">
        <v>23</v>
      </c>
    </row>
    <row r="12" spans="1:12" x14ac:dyDescent="0.25">
      <c r="A12" t="s">
        <v>24</v>
      </c>
      <c r="B12">
        <v>0.78160918000000001</v>
      </c>
      <c r="C12">
        <v>0.75</v>
      </c>
      <c r="D12">
        <v>0.81818181000000001</v>
      </c>
      <c r="J12" t="s">
        <v>24</v>
      </c>
    </row>
    <row r="13" spans="1:12" x14ac:dyDescent="0.25">
      <c r="A13" t="s">
        <v>25</v>
      </c>
      <c r="B13">
        <v>0.94736843999999998</v>
      </c>
      <c r="C13">
        <v>0.97872340999999996</v>
      </c>
      <c r="D13">
        <v>0.91666669000000001</v>
      </c>
      <c r="J13" t="s">
        <v>25</v>
      </c>
    </row>
    <row r="14" spans="1:12" x14ac:dyDescent="0.25">
      <c r="A14" s="1" t="s">
        <v>26</v>
      </c>
      <c r="B14" s="2">
        <f>AVERAGE(B2:B13)</f>
        <v>0.87917317416666674</v>
      </c>
      <c r="C14" s="2">
        <f>AVERAGE(C2:C13)</f>
        <v>0.92937654833333339</v>
      </c>
      <c r="D14" s="2">
        <f>AVERAGE(D2:D13)</f>
        <v>0.82372547750000003</v>
      </c>
    </row>
    <row r="16" spans="1:12" x14ac:dyDescent="0.25">
      <c r="A16" t="s">
        <v>0</v>
      </c>
      <c r="B16" t="s">
        <v>1</v>
      </c>
      <c r="C16" t="s">
        <v>2</v>
      </c>
      <c r="D16" t="s">
        <v>3</v>
      </c>
    </row>
    <row r="17" spans="1:10" x14ac:dyDescent="0.25">
      <c r="A17" t="s">
        <v>7</v>
      </c>
      <c r="B17">
        <v>0.97872340999999996</v>
      </c>
      <c r="C17">
        <v>0.98591547999999996</v>
      </c>
      <c r="D17">
        <v>0.95652174999999995</v>
      </c>
      <c r="J17" s="1" t="s">
        <v>28</v>
      </c>
    </row>
    <row r="18" spans="1:10" x14ac:dyDescent="0.25">
      <c r="A18" t="s">
        <v>9</v>
      </c>
      <c r="B18">
        <v>0.96842103999999996</v>
      </c>
      <c r="C18">
        <v>0.95890408999999999</v>
      </c>
      <c r="D18">
        <v>1</v>
      </c>
      <c r="J18" s="4" t="s">
        <v>29</v>
      </c>
    </row>
    <row r="19" spans="1:10" x14ac:dyDescent="0.25">
      <c r="A19" t="s">
        <v>11</v>
      </c>
      <c r="B19">
        <v>0.82926827999999997</v>
      </c>
      <c r="C19">
        <v>0.96428572999999995</v>
      </c>
      <c r="D19">
        <v>0.53846156999999994</v>
      </c>
      <c r="J19" s="3" t="s">
        <v>30</v>
      </c>
    </row>
    <row r="20" spans="1:10" x14ac:dyDescent="0.25">
      <c r="A20" t="s">
        <v>13</v>
      </c>
      <c r="B20">
        <v>0.98901099000000003</v>
      </c>
      <c r="C20">
        <v>1</v>
      </c>
      <c r="D20">
        <v>0.95238096000000005</v>
      </c>
    </row>
    <row r="21" spans="1:10" x14ac:dyDescent="0.25">
      <c r="A21" t="s">
        <v>15</v>
      </c>
      <c r="B21">
        <v>0.97872340999999996</v>
      </c>
      <c r="C21">
        <v>0.98507464</v>
      </c>
      <c r="D21">
        <v>0.96296298999999996</v>
      </c>
    </row>
    <row r="22" spans="1:10" x14ac:dyDescent="0.25">
      <c r="A22" t="s">
        <v>19</v>
      </c>
      <c r="B22">
        <v>0.82978724999999998</v>
      </c>
      <c r="C22">
        <v>0.87323945999999997</v>
      </c>
      <c r="D22">
        <v>0.72727275000000002</v>
      </c>
    </row>
    <row r="23" spans="1:10" x14ac:dyDescent="0.25">
      <c r="A23" t="s">
        <v>21</v>
      </c>
      <c r="B23">
        <v>0.86868685000000001</v>
      </c>
      <c r="C23">
        <v>0.92307693000000002</v>
      </c>
      <c r="D23">
        <v>0.70588236999999998</v>
      </c>
    </row>
    <row r="24" spans="1:10" x14ac:dyDescent="0.25">
      <c r="A24" t="s">
        <v>17</v>
      </c>
      <c r="B24">
        <v>0.79069769000000001</v>
      </c>
      <c r="C24">
        <v>0.88888889999999998</v>
      </c>
      <c r="D24">
        <v>0.28571429999999998</v>
      </c>
    </row>
    <row r="25" spans="1:10" x14ac:dyDescent="0.25">
      <c r="A25" s="1" t="s">
        <v>26</v>
      </c>
      <c r="B25" s="2">
        <f>AVERAGE(B17:B24)</f>
        <v>0.90416486500000004</v>
      </c>
      <c r="C25" s="2">
        <f>AVERAGE(C17:C24)</f>
        <v>0.94742315374999997</v>
      </c>
      <c r="D25" s="2">
        <f>AVERAGE(D17:D24)</f>
        <v>0.76614958625000007</v>
      </c>
    </row>
    <row r="27" spans="1:10" x14ac:dyDescent="0.25">
      <c r="A27" s="8" t="s">
        <v>27</v>
      </c>
      <c r="B27" s="8"/>
    </row>
    <row r="28" spans="1:10" x14ac:dyDescent="0.25">
      <c r="A28" s="4" t="s">
        <v>4</v>
      </c>
      <c r="B28" s="5">
        <f>C14-D14</f>
        <v>0.10565107083333336</v>
      </c>
    </row>
    <row r="29" spans="1:10" x14ac:dyDescent="0.25">
      <c r="A29" s="1" t="s">
        <v>5</v>
      </c>
      <c r="B29" s="2">
        <f>C25-D25</f>
        <v>0.1812735674999999</v>
      </c>
    </row>
    <row r="31" spans="1:10" x14ac:dyDescent="0.25">
      <c r="A31" s="9" t="s">
        <v>31</v>
      </c>
      <c r="B31" s="9"/>
    </row>
    <row r="32" spans="1:10" x14ac:dyDescent="0.25">
      <c r="A32" s="3" t="s">
        <v>4</v>
      </c>
      <c r="B32" s="6">
        <f>AVERAGE(D2:D13)</f>
        <v>0.82372547750000003</v>
      </c>
    </row>
    <row r="33" spans="1:2" x14ac:dyDescent="0.25">
      <c r="A33" s="3" t="s">
        <v>5</v>
      </c>
      <c r="B33" s="6">
        <f>AVERAGE(D17:D24)</f>
        <v>0.76614958625000007</v>
      </c>
    </row>
    <row r="34" spans="1:2" x14ac:dyDescent="0.25">
      <c r="A34" s="3" t="s">
        <v>32</v>
      </c>
      <c r="B34" s="6">
        <f>ABS(B32-B33)</f>
        <v>5.7575891249999955E-2</v>
      </c>
    </row>
    <row r="36" spans="1:2" x14ac:dyDescent="0.25">
      <c r="A36" s="9" t="s">
        <v>33</v>
      </c>
      <c r="B36" s="9"/>
    </row>
    <row r="37" spans="1:2" x14ac:dyDescent="0.25">
      <c r="A37" s="3" t="s">
        <v>4</v>
      </c>
      <c r="B37" s="6">
        <f>C14-D14</f>
        <v>0.10565107083333336</v>
      </c>
    </row>
    <row r="38" spans="1:2" x14ac:dyDescent="0.25">
      <c r="A38" s="3" t="s">
        <v>5</v>
      </c>
      <c r="B38" s="6">
        <f>C25-D25</f>
        <v>0.1812735674999999</v>
      </c>
    </row>
    <row r="39" spans="1:2" x14ac:dyDescent="0.25">
      <c r="A39" s="3" t="s">
        <v>32</v>
      </c>
      <c r="B39" s="6">
        <f>ABS(B37-B38)</f>
        <v>7.5622496666666539E-2</v>
      </c>
    </row>
  </sheetData>
  <mergeCells count="3">
    <mergeCell ref="A27:B27"/>
    <mergeCell ref="A31:B31"/>
    <mergeCell ref="A36:B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BE5B-C44E-4C65-A92A-F78DB507220B}">
  <dimension ref="A1:K26"/>
  <sheetViews>
    <sheetView workbookViewId="0">
      <selection activeCell="E21" sqref="E21"/>
    </sheetView>
  </sheetViews>
  <sheetFormatPr defaultRowHeight="15" x14ac:dyDescent="0.25"/>
  <cols>
    <col min="1" max="1" width="23.5703125" bestFit="1" customWidth="1"/>
    <col min="2" max="2" width="23.42578125" bestFit="1" customWidth="1"/>
    <col min="9" max="9" width="10.5703125" bestFit="1" customWidth="1"/>
    <col min="10" max="11" width="11" bestFit="1" customWidth="1"/>
  </cols>
  <sheetData>
    <row r="1" spans="1:11" x14ac:dyDescent="0.25">
      <c r="A1" s="18" t="s">
        <v>4</v>
      </c>
      <c r="B1" s="19"/>
      <c r="C1" s="19"/>
      <c r="D1" s="20"/>
    </row>
    <row r="2" spans="1:11" x14ac:dyDescent="0.25">
      <c r="A2" s="21" t="s">
        <v>0</v>
      </c>
      <c r="B2" s="22" t="s">
        <v>36</v>
      </c>
      <c r="C2" s="12" t="s">
        <v>44</v>
      </c>
      <c r="D2" s="13" t="s">
        <v>45</v>
      </c>
    </row>
    <row r="3" spans="1:11" x14ac:dyDescent="0.25">
      <c r="A3" s="14" t="s">
        <v>6</v>
      </c>
      <c r="B3" s="23" t="s">
        <v>38</v>
      </c>
      <c r="C3" s="14" t="s">
        <v>37</v>
      </c>
      <c r="D3" s="15">
        <f>COUNTIF(B3:B14, "CNN")</f>
        <v>6</v>
      </c>
    </row>
    <row r="4" spans="1:11" ht="15" customHeight="1" x14ac:dyDescent="0.25">
      <c r="A4" s="14" t="s">
        <v>8</v>
      </c>
      <c r="B4" s="23" t="s">
        <v>37</v>
      </c>
      <c r="C4" s="14" t="s">
        <v>38</v>
      </c>
      <c r="D4" s="15">
        <f>COUNTIF(B3:B14, "CLIP")</f>
        <v>2</v>
      </c>
      <c r="I4" s="7"/>
    </row>
    <row r="5" spans="1:11" x14ac:dyDescent="0.25">
      <c r="A5" s="14" t="s">
        <v>10</v>
      </c>
      <c r="B5" s="23" t="s">
        <v>39</v>
      </c>
      <c r="C5" s="16" t="s">
        <v>39</v>
      </c>
      <c r="D5" s="17">
        <f>COUNTIF(B3:B14, "VLM")</f>
        <v>4</v>
      </c>
      <c r="I5" s="7"/>
    </row>
    <row r="6" spans="1:11" ht="15" customHeight="1" x14ac:dyDescent="0.25">
      <c r="A6" s="14" t="s">
        <v>12</v>
      </c>
      <c r="B6" s="23" t="s">
        <v>37</v>
      </c>
      <c r="C6" s="23"/>
      <c r="D6" s="15"/>
      <c r="I6" s="7"/>
    </row>
    <row r="7" spans="1:11" x14ac:dyDescent="0.25">
      <c r="A7" s="14" t="s">
        <v>14</v>
      </c>
      <c r="B7" s="23" t="s">
        <v>39</v>
      </c>
      <c r="C7" s="23"/>
      <c r="D7" s="15"/>
      <c r="I7" s="7"/>
    </row>
    <row r="8" spans="1:11" ht="15" customHeight="1" x14ac:dyDescent="0.25">
      <c r="A8" s="14" t="s">
        <v>16</v>
      </c>
      <c r="B8" s="23" t="s">
        <v>37</v>
      </c>
      <c r="C8" s="23"/>
      <c r="D8" s="15"/>
      <c r="I8" s="7"/>
    </row>
    <row r="9" spans="1:11" x14ac:dyDescent="0.25">
      <c r="A9" s="14" t="s">
        <v>18</v>
      </c>
      <c r="B9" s="23" t="s">
        <v>38</v>
      </c>
      <c r="C9" s="23"/>
      <c r="D9" s="15"/>
      <c r="I9" s="7"/>
    </row>
    <row r="10" spans="1:11" ht="15" customHeight="1" x14ac:dyDescent="0.25">
      <c r="A10" s="14" t="s">
        <v>20</v>
      </c>
      <c r="B10" s="23" t="s">
        <v>37</v>
      </c>
      <c r="C10" s="23"/>
      <c r="D10" s="15"/>
      <c r="I10" s="7"/>
    </row>
    <row r="11" spans="1:11" x14ac:dyDescent="0.25">
      <c r="A11" s="14" t="s">
        <v>22</v>
      </c>
      <c r="B11" s="23" t="s">
        <v>37</v>
      </c>
      <c r="C11" s="23"/>
      <c r="D11" s="15"/>
      <c r="I11" s="7"/>
    </row>
    <row r="12" spans="1:11" ht="15" customHeight="1" x14ac:dyDescent="0.25">
      <c r="A12" s="14" t="s">
        <v>23</v>
      </c>
      <c r="B12" s="23" t="s">
        <v>39</v>
      </c>
      <c r="C12" s="23"/>
      <c r="D12" s="15"/>
      <c r="I12" s="11"/>
      <c r="J12" s="11"/>
      <c r="K12" s="11"/>
    </row>
    <row r="13" spans="1:11" x14ac:dyDescent="0.25">
      <c r="A13" s="14" t="s">
        <v>24</v>
      </c>
      <c r="B13" s="23" t="s">
        <v>37</v>
      </c>
      <c r="C13" s="23"/>
      <c r="D13" s="15"/>
      <c r="I13" s="11"/>
      <c r="J13" s="11"/>
      <c r="K13" s="11"/>
    </row>
    <row r="14" spans="1:11" ht="15" customHeight="1" x14ac:dyDescent="0.25">
      <c r="A14" s="16" t="s">
        <v>25</v>
      </c>
      <c r="B14" s="24" t="s">
        <v>39</v>
      </c>
      <c r="C14" s="24"/>
      <c r="D14" s="17"/>
      <c r="I14" s="11"/>
      <c r="J14" s="11"/>
      <c r="K14" s="11"/>
    </row>
    <row r="15" spans="1:11" x14ac:dyDescent="0.25">
      <c r="I15" s="11"/>
      <c r="J15" s="11"/>
      <c r="K15" s="11"/>
    </row>
    <row r="16" spans="1:11" ht="15" customHeight="1" x14ac:dyDescent="0.25">
      <c r="A16" s="18" t="s">
        <v>5</v>
      </c>
      <c r="B16" s="19"/>
      <c r="C16" s="19"/>
      <c r="D16" s="20"/>
      <c r="I16" s="11"/>
      <c r="J16" s="11"/>
      <c r="K16" s="11"/>
    </row>
    <row r="17" spans="1:4" x14ac:dyDescent="0.25">
      <c r="A17" s="21" t="s">
        <v>0</v>
      </c>
      <c r="B17" s="22" t="s">
        <v>36</v>
      </c>
      <c r="C17" s="12" t="s">
        <v>44</v>
      </c>
      <c r="D17" s="13" t="s">
        <v>45</v>
      </c>
    </row>
    <row r="18" spans="1:4" ht="15" customHeight="1" x14ac:dyDescent="0.25">
      <c r="A18" s="14" t="s">
        <v>7</v>
      </c>
      <c r="B18" s="23" t="s">
        <v>39</v>
      </c>
      <c r="C18" s="14" t="s">
        <v>37</v>
      </c>
      <c r="D18" s="15">
        <f>COUNTIF(B18:B25, "CNN")</f>
        <v>2</v>
      </c>
    </row>
    <row r="19" spans="1:4" x14ac:dyDescent="0.25">
      <c r="A19" s="14" t="s">
        <v>9</v>
      </c>
      <c r="B19" s="23" t="s">
        <v>37</v>
      </c>
      <c r="C19" s="14" t="s">
        <v>38</v>
      </c>
      <c r="D19" s="15">
        <f>COUNTIF(B18:B25, "CLIP")</f>
        <v>3</v>
      </c>
    </row>
    <row r="20" spans="1:4" ht="15" customHeight="1" x14ac:dyDescent="0.25">
      <c r="A20" s="14" t="s">
        <v>11</v>
      </c>
      <c r="B20" s="23" t="s">
        <v>39</v>
      </c>
      <c r="C20" s="16" t="s">
        <v>39</v>
      </c>
      <c r="D20" s="17">
        <f>COUNTIF(B18:B25, "VLM")</f>
        <v>3</v>
      </c>
    </row>
    <row r="21" spans="1:4" x14ac:dyDescent="0.25">
      <c r="A21" s="14" t="s">
        <v>13</v>
      </c>
      <c r="B21" s="23" t="s">
        <v>38</v>
      </c>
      <c r="C21" s="23"/>
      <c r="D21" s="15"/>
    </row>
    <row r="22" spans="1:4" ht="15" customHeight="1" x14ac:dyDescent="0.25">
      <c r="A22" s="14" t="s">
        <v>15</v>
      </c>
      <c r="B22" s="23" t="s">
        <v>38</v>
      </c>
      <c r="C22" s="23"/>
      <c r="D22" s="15"/>
    </row>
    <row r="23" spans="1:4" x14ac:dyDescent="0.25">
      <c r="A23" s="14" t="s">
        <v>19</v>
      </c>
      <c r="B23" s="23" t="s">
        <v>38</v>
      </c>
      <c r="C23" s="23"/>
      <c r="D23" s="15"/>
    </row>
    <row r="24" spans="1:4" ht="15" customHeight="1" x14ac:dyDescent="0.25">
      <c r="A24" s="14" t="s">
        <v>21</v>
      </c>
      <c r="B24" s="23" t="s">
        <v>39</v>
      </c>
      <c r="C24" s="23"/>
      <c r="D24" s="15"/>
    </row>
    <row r="25" spans="1:4" x14ac:dyDescent="0.25">
      <c r="A25" s="16" t="s">
        <v>17</v>
      </c>
      <c r="B25" s="24" t="s">
        <v>37</v>
      </c>
      <c r="C25" s="24"/>
      <c r="D25" s="17"/>
    </row>
    <row r="26" spans="1:4" ht="15" customHeight="1" x14ac:dyDescent="0.25"/>
  </sheetData>
  <mergeCells count="2">
    <mergeCell ref="A1:D1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data_composition</vt:lpstr>
      <vt:lpstr>convnext-full</vt:lpstr>
      <vt:lpstr>clip-l-14-full</vt:lpstr>
      <vt:lpstr>qwen7-full</vt:lpstr>
      <vt:lpstr>per_class_champions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Mooraj, Hamza</dc:creator>
  <cp:lastModifiedBy>Mooraj, Hamza</cp:lastModifiedBy>
  <dcterms:created xsi:type="dcterms:W3CDTF">2026-03-30T12:24:35Z</dcterms:created>
  <dcterms:modified xsi:type="dcterms:W3CDTF">2026-03-30T16:29:53Z</dcterms:modified>
</cp:coreProperties>
</file>